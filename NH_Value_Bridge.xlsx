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" sheetId="1" state="visible" r:id="rId1"/>
    <sheet name="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"/>
    <numFmt numFmtId="165" formatCode="0.0%"/>
    <numFmt numFmtId="166" formatCode="0.00&quot;x&quot;"/>
  </numFmts>
  <fonts count="18">
    <font>
      <name val="Calibri"/>
      <family val="2"/>
      <color theme="1"/>
      <sz val="11"/>
      <scheme val="minor"/>
    </font>
    <font>
      <name val="Arial"/>
      <b val="1"/>
      <color rgb="00006770"/>
      <sz val="14"/>
    </font>
    <font>
      <name val="Arial"/>
      <color rgb="00676763"/>
      <sz val="9"/>
    </font>
    <font>
      <name val="Arial"/>
      <i val="1"/>
      <color rgb="00676763"/>
      <sz val="9"/>
    </font>
    <font>
      <name val="Arial"/>
      <color rgb="00676763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333331"/>
      <sz val="10"/>
    </font>
    <font>
      <name val="Arial"/>
      <color rgb="00333331"/>
      <sz val="10"/>
    </font>
    <font>
      <name val="Arial"/>
      <i val="1"/>
      <color rgb="00676763"/>
      <sz val="10"/>
    </font>
    <font>
      <name val="Arial"/>
      <sz val="10"/>
    </font>
    <font>
      <name val="Arial"/>
      <b val="1"/>
      <color rgb="00006770"/>
      <sz val="10"/>
    </font>
    <font>
      <name val="Arial"/>
      <i val="1"/>
      <color rgb="00A4A4A1"/>
      <sz val="9"/>
    </font>
    <font>
      <name val="Arial"/>
      <i val="1"/>
      <color rgb="00A4A4A1"/>
      <sz val="8"/>
    </font>
    <font>
      <name val="Arial"/>
      <color rgb="00676763"/>
      <sz val="8"/>
    </font>
    <font>
      <name val="Arial"/>
      <sz val="8"/>
    </font>
    <font>
      <name val="Arial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6770"/>
      </patternFill>
    </fill>
    <fill>
      <patternFill patternType="solid">
        <fgColor rgb="00F2F8F8"/>
      </patternFill>
    </fill>
  </fills>
  <borders count="3">
    <border>
      <left/>
      <right/>
      <top/>
      <bottom/>
      <diagonal/>
    </border>
    <border>
      <left style="thin">
        <color rgb="00D9DEE0"/>
      </left>
      <right style="thin">
        <color rgb="00D9DEE0"/>
      </right>
      <top style="thin">
        <color rgb="00D9DEE0"/>
      </top>
      <bottom style="thin">
        <color rgb="00D9DEE0"/>
      </bottom>
    </border>
    <border>
      <left style="thin">
        <color rgb="00D9DEE0"/>
      </left>
      <right style="thin">
        <color rgb="00D9DEE0"/>
      </right>
      <top style="double">
        <color rgb="00006770"/>
      </top>
      <bottom style="thin">
        <color rgb="00D9DEE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/>
    </xf>
    <xf numFmtId="1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6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164" fontId="9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5" fontId="10" fillId="0" borderId="1" applyAlignment="1" pivotButton="0" quotePrefix="0" xfId="0">
      <alignment horizontal="right"/>
    </xf>
    <xf numFmtId="165" fontId="10" fillId="4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6" fontId="10" fillId="0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166" fontId="10" fillId="4" borderId="1" applyAlignment="1" pivotButton="0" quotePrefix="0" xfId="0">
      <alignment horizontal="right"/>
    </xf>
    <xf numFmtId="0" fontId="12" fillId="0" borderId="2" applyAlignment="1" pivotButton="0" quotePrefix="0" xfId="0">
      <alignment horizontal="left"/>
    </xf>
    <xf numFmtId="164" fontId="12" fillId="0" borderId="2" applyAlignment="1" pivotButton="0" quotePrefix="0" xfId="0">
      <alignment horizontal="right"/>
    </xf>
    <xf numFmtId="164" fontId="12" fillId="4" borderId="2" applyAlignment="1" pivotButton="0" quotePrefix="0" xfId="0">
      <alignment horizontal="right"/>
    </xf>
    <xf numFmtId="0" fontId="12" fillId="0" borderId="1" applyAlignment="1" pivotButton="0" quotePrefix="0" xfId="0">
      <alignment horizontal="left"/>
    </xf>
    <xf numFmtId="164" fontId="12" fillId="0" borderId="1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9" fontId="2" fillId="0" borderId="1" applyAlignment="1" pivotButton="0" quotePrefix="0" xfId="0">
      <alignment horizontal="right"/>
    </xf>
    <xf numFmtId="166" fontId="12" fillId="0" borderId="2" applyAlignment="1" pivotButton="0" quotePrefix="0" xfId="0">
      <alignment horizontal="right"/>
    </xf>
    <xf numFmtId="0" fontId="11" fillId="0" borderId="2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164" fontId="13" fillId="0" borderId="0" applyAlignment="1" pivotButton="0" quotePrefix="0" xfId="0">
      <alignment horizontal="right"/>
    </xf>
    <xf numFmtId="0" fontId="11" fillId="3" borderId="1" pivotButton="0" quotePrefix="0" xfId="0"/>
    <xf numFmtId="0" fontId="4" fillId="0" borderId="1" applyAlignment="1" pivotButton="0" quotePrefix="0" xfId="0">
      <alignment horizontal="left"/>
    </xf>
    <xf numFmtId="165" fontId="12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0" fontId="14" fillId="0" borderId="0" pivotButton="0" quotePrefix="0" xfId="0"/>
    <xf numFmtId="0" fontId="15" fillId="0" borderId="0" pivotButton="0" quotePrefix="0" xfId="0"/>
    <xf numFmtId="166" fontId="16" fillId="0" borderId="0" pivotButton="0" quotePrefix="0" xfId="0"/>
    <xf numFmtId="164" fontId="16" fillId="0" borderId="0" pivotButton="0" quotePrefix="0" xfId="0"/>
    <xf numFmtId="0" fontId="7" fillId="3" borderId="1" applyAlignment="1" pivotButton="0" quotePrefix="0" xfId="0">
      <alignment horizontal="center"/>
    </xf>
    <xf numFmtId="0" fontId="17" fillId="3" borderId="1" applyAlignment="1" pivotButton="0" quotePrefix="0" xfId="0">
      <alignment horizontal="left"/>
    </xf>
    <xf numFmtId="0" fontId="17" fillId="3" borderId="1" applyAlignment="1" pivotButton="0" quotePrefix="0" xfId="0">
      <alignment horizontal="right"/>
    </xf>
    <xf numFmtId="164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creation bridge — MOIC basis (cost = 1.00x)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'Bridge'!C41</f>
            </strRef>
          </tx>
          <spPr>
            <a:noFill/>
            <a:ln>
              <a:noFill/>
              <a:prstDash val="solid"/>
            </a:ln>
          </spPr>
          <cat>
            <numRef>
              <f>'Bridge'!$A$42:$A$48</f>
            </numRef>
          </cat>
          <val>
            <numRef>
              <f>'Bridge'!$C$42:$C$48</f>
            </numRef>
          </val>
        </ser>
        <ser>
          <idx val="1"/>
          <order val="1"/>
          <tx>
            <strRef>
              <f>'Bridge'!D41</f>
            </strRef>
          </tx>
          <spPr>
            <a:solidFill>
              <a:srgbClr val="006770"/>
            </a:solidFill>
            <a:ln>
              <a:noFill/>
              <a:prstDash val="solid"/>
            </a:ln>
          </spPr>
          <dLbls>
            <numFmt formatCode="0.00&quot;x&quot;;;&quot;&quot;"/>
            <dLblPos val="outEnd"/>
            <showVal val="1"/>
          </dLbls>
          <cat>
            <numRef>
              <f>'Bridge'!$A$42:$A$48</f>
            </numRef>
          </cat>
          <val>
            <numRef>
              <f>'Bridge'!$D$42:$D$48</f>
            </numRef>
          </val>
        </ser>
        <ser>
          <idx val="2"/>
          <order val="2"/>
          <tx>
            <strRef>
              <f>'Bridge'!E41</f>
            </strRef>
          </tx>
          <spPr>
            <a:solidFill>
              <a:srgbClr val="00A4B3"/>
            </a:solidFill>
            <a:ln>
              <a:noFill/>
              <a:prstDash val="solid"/>
            </a:ln>
          </spPr>
          <dLbls>
            <numFmt formatCode="0.00&quot;x&quot;;;&quot;&quot;"/>
            <dLblPos val="ctr"/>
            <showVal val="1"/>
          </dLbls>
          <cat>
            <numRef>
              <f>'Bridge'!$A$42:$A$48</f>
            </numRef>
          </cat>
          <val>
            <numRef>
              <f>'Bridge'!$E$42:$E$48</f>
            </numRef>
          </val>
        </ser>
        <ser>
          <idx val="3"/>
          <order val="3"/>
          <tx>
            <strRef>
              <f>'Bridge'!F41</f>
            </strRef>
          </tx>
          <spPr>
            <a:solidFill>
              <a:srgbClr val="B5493F"/>
            </a:solidFill>
            <a:ln>
              <a:noFill/>
              <a:prstDash val="solid"/>
            </a:ln>
          </spPr>
          <dLbls>
            <numFmt formatCode="&quot;(&quot;0.00&quot;x)&quot;;;&quot;&quot;"/>
            <dLblPos val="ctr"/>
            <showVal val="1"/>
          </dLbls>
          <cat>
            <numRef>
              <f>'Bridge'!$A$42:$A$48</f>
            </numRef>
          </cat>
          <val>
            <numRef>
              <f>'Bridge'!$F$42:$F$48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&quot;x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creation bridge — €m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'Bridge'!C51</f>
            </strRef>
          </tx>
          <spPr>
            <a:noFill/>
            <a:ln>
              <a:noFill/>
              <a:prstDash val="solid"/>
            </a:ln>
          </spPr>
          <cat>
            <numRef>
              <f>'Bridge'!$A$52:$A$59</f>
            </numRef>
          </cat>
          <val>
            <numRef>
              <f>'Bridge'!$C$52:$C$59</f>
            </numRef>
          </val>
        </ser>
        <ser>
          <idx val="1"/>
          <order val="1"/>
          <tx>
            <strRef>
              <f>'Bridge'!D51</f>
            </strRef>
          </tx>
          <spPr>
            <a:solidFill>
              <a:srgbClr val="006770"/>
            </a:solidFill>
            <a:ln>
              <a:noFill/>
              <a:prstDash val="solid"/>
            </a:ln>
          </spPr>
          <dLbls>
            <numFmt formatCode="#,##0.0;;&quot;&quot;"/>
            <dLblPos val="outEnd"/>
            <showVal val="1"/>
          </dLbls>
          <cat>
            <numRef>
              <f>'Bridge'!$A$52:$A$59</f>
            </numRef>
          </cat>
          <val>
            <numRef>
              <f>'Bridge'!$D$52:$D$59</f>
            </numRef>
          </val>
        </ser>
        <ser>
          <idx val="2"/>
          <order val="2"/>
          <tx>
            <strRef>
              <f>'Bridge'!E51</f>
            </strRef>
          </tx>
          <spPr>
            <a:solidFill>
              <a:srgbClr val="00A4B3"/>
            </a:solidFill>
            <a:ln>
              <a:noFill/>
              <a:prstDash val="solid"/>
            </a:ln>
          </spPr>
          <dLbls>
            <numFmt formatCode="#,##0.0;;&quot;&quot;"/>
            <dLblPos val="ctr"/>
            <showVal val="1"/>
          </dLbls>
          <cat>
            <numRef>
              <f>'Bridge'!$A$52:$A$59</f>
            </numRef>
          </cat>
          <val>
            <numRef>
              <f>'Bridge'!$E$52:$E$59</f>
            </numRef>
          </val>
        </ser>
        <ser>
          <idx val="3"/>
          <order val="3"/>
          <tx>
            <strRef>
              <f>'Bridge'!F51</f>
            </strRef>
          </tx>
          <spPr>
            <a:solidFill>
              <a:srgbClr val="B5493F"/>
            </a:solidFill>
            <a:ln>
              <a:noFill/>
              <a:prstDash val="solid"/>
            </a:ln>
          </spPr>
          <dLbls>
            <numFmt formatCode="&quot;(&quot;#,##0.0&quot;)&quot;;;&quot;&quot;"/>
            <dLblPos val="ctr"/>
            <showVal val="1"/>
          </dLbls>
          <cat>
            <numRef>
              <f>'Bridge'!$A$52:$A$59</f>
            </numRef>
          </cat>
          <val>
            <numRef>
              <f>'Bridge'!$F$52:$F$59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value creation bridge — MOIC basis (cost = 1.00x)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'Portfolio'!C21</f>
            </strRef>
          </tx>
          <spPr>
            <a:noFill/>
            <a:ln>
              <a:noFill/>
              <a:prstDash val="solid"/>
            </a:ln>
          </spPr>
          <cat>
            <numRef>
              <f>'Portfolio'!$A$22:$A$28</f>
            </numRef>
          </cat>
          <val>
            <numRef>
              <f>'Portfolio'!$C$22:$C$28</f>
            </numRef>
          </val>
        </ser>
        <ser>
          <idx val="1"/>
          <order val="1"/>
          <tx>
            <strRef>
              <f>'Portfolio'!D21</f>
            </strRef>
          </tx>
          <spPr>
            <a:solidFill>
              <a:srgbClr val="006770"/>
            </a:solidFill>
            <a:ln>
              <a:noFill/>
              <a:prstDash val="solid"/>
            </a:ln>
          </spPr>
          <dLbls>
            <numFmt formatCode="0.00&quot;x&quot;;;&quot;&quot;"/>
            <dLblPos val="outEnd"/>
            <showVal val="1"/>
          </dLbls>
          <cat>
            <numRef>
              <f>'Portfolio'!$A$22:$A$28</f>
            </numRef>
          </cat>
          <val>
            <numRef>
              <f>'Portfolio'!$D$22:$D$28</f>
            </numRef>
          </val>
        </ser>
        <ser>
          <idx val="2"/>
          <order val="2"/>
          <tx>
            <strRef>
              <f>'Portfolio'!E21</f>
            </strRef>
          </tx>
          <spPr>
            <a:solidFill>
              <a:srgbClr val="00A4B3"/>
            </a:solidFill>
            <a:ln>
              <a:noFill/>
              <a:prstDash val="solid"/>
            </a:ln>
          </spPr>
          <dLbls>
            <numFmt formatCode="0.00&quot;x&quot;;;&quot;&quot;"/>
            <dLblPos val="ctr"/>
            <showVal val="1"/>
          </dLbls>
          <cat>
            <numRef>
              <f>'Portfolio'!$A$22:$A$28</f>
            </numRef>
          </cat>
          <val>
            <numRef>
              <f>'Portfolio'!$E$22:$E$28</f>
            </numRef>
          </val>
        </ser>
        <ser>
          <idx val="3"/>
          <order val="3"/>
          <tx>
            <strRef>
              <f>'Portfolio'!F21</f>
            </strRef>
          </tx>
          <spPr>
            <a:solidFill>
              <a:srgbClr val="B5493F"/>
            </a:solidFill>
            <a:ln>
              <a:noFill/>
              <a:prstDash val="solid"/>
            </a:ln>
          </spPr>
          <dLbls>
            <numFmt formatCode="&quot;(&quot;0.00&quot;x)&quot;;;&quot;&quot;"/>
            <dLblPos val="ctr"/>
            <showVal val="1"/>
          </dLbls>
          <cat>
            <numRef>
              <f>'Portfolio'!$A$22:$A$28</f>
            </numRef>
          </cat>
          <val>
            <numRef>
              <f>'Portfolio'!$F$22:$F$28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&quot;x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NH Value Bridge</author>
  </authors>
  <commentList>
    <comment ref="B9" authorId="0" shapeId="0">
      <text>
        <t>Dividends / recap proceeds received during the hold. Added to exit proceeds for MOIC/IRR.</t>
      </text>
    </comment>
    <comment ref="B12" authorId="0" shapeId="0">
      <text>
        <t>Platform sales at entry (LTM / BP base year).</t>
      </text>
    </comment>
    <comment ref="C12" authorId="0" shapeId="0">
      <text>
        <t>Sales acquired via add-ons (BP total). 0 if no M&amp;A.</t>
      </text>
    </comment>
    <comment ref="E12" authorId="0" shapeId="0">
      <text>
        <t>BP exit-year sales (incl. add-ons).</t>
      </text>
    </comment>
    <comment ref="C13" authorId="0" shapeId="0">
      <text>
        <t>EBITDA acquired via add-ons (at acquisition). 0 if no M&amp;A.</t>
      </text>
    </comment>
    <comment ref="B15" authorId="0" shapeId="0">
      <text>
        <t>Platform entry EV/EBITDA.</t>
      </text>
    </comment>
    <comment ref="D15" authorId="0" shapeId="0">
      <text>
        <t>BLENDED pro-forma entry multiple = PF EV / PF EBITDA. Add-ons bought below the platform multiple blend it down; the multiple-rerating bar then carries the arbitrage.</t>
      </text>
    </comment>
    <comment ref="C16" authorId="0" shapeId="0">
      <text>
        <t>Consideration: total EV paid for add-ons. 0 if no M&amp;A.</t>
      </text>
    </comment>
    <comment ref="C17" authorId="0" shapeId="0">
      <text>
        <t>Of which debt-funded. The equity-funded rest counts as invested at entry.</t>
      </text>
    </comment>
    <comment ref="C19" authorId="0" shapeId="0">
      <text>
        <t>Equity check for add-ons = consideration minus debt-funded part.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10</row>
      <rowOff>0</rowOff>
    </from>
    <ext cx="828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35</row>
      <rowOff>0</rowOff>
    </from>
    <ext cx="828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828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6770"/>
    <outlinePr summaryBelow="1" summaryRight="1"/>
    <pageSetUpPr/>
  </sheetPr>
  <dimension ref="A1:F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NORD HOLDING  —  Value Creation Bridge</t>
        </is>
      </c>
    </row>
    <row r="2">
      <c r="A2" s="2" t="inlineStr">
        <is>
          <t>Entry → exit equity bridge from BP assumptions  ·  M&amp;A consolidated pro-forma at entry  ·  figures gross of fund fees &amp; carry</t>
        </is>
      </c>
    </row>
    <row r="3">
      <c r="A3" s="3" t="inlineStr">
        <is>
          <t>Blue on yellow = INPUT cells  ·  black = calculated  ·  leave the Add-ons column at 0 if the BP has no M&amp;A</t>
        </is>
      </c>
    </row>
    <row r="5">
      <c r="A5" s="4" t="inlineStr">
        <is>
          <t>Project</t>
        </is>
      </c>
      <c r="B5" s="5" t="inlineStr">
        <is>
          <t>Project Alpha</t>
        </is>
      </c>
    </row>
    <row r="6">
      <c r="A6" s="4" t="inlineStr">
        <is>
          <t>Entry year</t>
        </is>
      </c>
      <c r="B6" s="6" t="n">
        <v>2026</v>
      </c>
    </row>
    <row r="7">
      <c r="A7" s="4" t="inlineStr">
        <is>
          <t>Exit year</t>
        </is>
      </c>
      <c r="B7" s="6" t="n">
        <v>2031</v>
      </c>
    </row>
    <row r="8">
      <c r="A8" s="4" t="inlineStr">
        <is>
          <t>Unit</t>
        </is>
      </c>
      <c r="B8" s="5" t="inlineStr">
        <is>
          <t>€m</t>
        </is>
      </c>
    </row>
    <row r="9">
      <c r="A9" s="4" t="inlineStr">
        <is>
          <t>Distributions during hold</t>
        </is>
      </c>
      <c r="B9" s="7" t="n">
        <v>0</v>
      </c>
    </row>
    <row r="11">
      <c r="A11" s="8">
        <f>"BP assumptions ("&amp;B8&amp;")"</f>
        <v/>
      </c>
      <c r="B11" s="9" t="inlineStr">
        <is>
          <t>Entry (platform)</t>
        </is>
      </c>
      <c r="C11" s="9" t="inlineStr">
        <is>
          <t>+ Add-ons (M&amp;A)</t>
        </is>
      </c>
      <c r="D11" s="9">
        <f> PF entry</f>
        <v/>
      </c>
      <c r="E11" s="9" t="inlineStr">
        <is>
          <t>Exit</t>
        </is>
      </c>
    </row>
    <row r="12">
      <c r="A12" s="10" t="inlineStr">
        <is>
          <t>Sales</t>
        </is>
      </c>
      <c r="B12" s="7" t="n">
        <v>100</v>
      </c>
      <c r="C12" s="7" t="n">
        <v>25</v>
      </c>
      <c r="D12" s="11">
        <f>B12+C12</f>
        <v/>
      </c>
      <c r="E12" s="7" t="n">
        <v>165</v>
      </c>
    </row>
    <row r="13">
      <c r="A13" s="10" t="inlineStr">
        <is>
          <t>EBITDA</t>
        </is>
      </c>
      <c r="B13" s="7" t="n">
        <v>20</v>
      </c>
      <c r="C13" s="7" t="n">
        <v>5</v>
      </c>
      <c r="D13" s="11">
        <f>B13+C13</f>
        <v/>
      </c>
      <c r="E13" s="7" t="n">
        <v>38</v>
      </c>
    </row>
    <row r="14">
      <c r="A14" s="12" t="inlineStr">
        <is>
          <t xml:space="preserve">    EBITDA margin</t>
        </is>
      </c>
      <c r="B14" s="13">
        <f>IF(B12&gt;0,B13/B12,"")</f>
        <v/>
      </c>
      <c r="C14" s="13">
        <f>IF(C12&gt;0,C13/C12,"")</f>
        <v/>
      </c>
      <c r="D14" s="14">
        <f>IF(D12&gt;0,D13/D12,"")</f>
        <v/>
      </c>
      <c r="E14" s="13">
        <f>IF(E12&gt;0,E13/E12,"")</f>
        <v/>
      </c>
    </row>
    <row r="15">
      <c r="A15" s="10" t="inlineStr">
        <is>
          <t>EV / EBITDA</t>
        </is>
      </c>
      <c r="B15" s="15" t="n">
        <v>8</v>
      </c>
      <c r="C15" s="16">
        <f>IF(C13&gt;0,C16/C13,"")</f>
        <v/>
      </c>
      <c r="D15" s="17">
        <f>IF(D13&gt;0,D16/D13,"")</f>
        <v/>
      </c>
      <c r="E15" s="15" t="n">
        <v>9</v>
      </c>
    </row>
    <row r="16">
      <c r="A16" s="10" t="inlineStr">
        <is>
          <t>EV</t>
        </is>
      </c>
      <c r="B16" s="18">
        <f>B13*B15</f>
        <v/>
      </c>
      <c r="C16" s="7" t="n">
        <v>30</v>
      </c>
      <c r="D16" s="11">
        <f>B16+C16</f>
        <v/>
      </c>
      <c r="E16" s="18">
        <f>E13*E15</f>
        <v/>
      </c>
    </row>
    <row r="17">
      <c r="A17" s="10" t="inlineStr">
        <is>
          <t>Net debt</t>
        </is>
      </c>
      <c r="B17" s="7" t="n">
        <v>60</v>
      </c>
      <c r="C17" s="7" t="n">
        <v>20</v>
      </c>
      <c r="D17" s="11">
        <f>B17+C17</f>
        <v/>
      </c>
      <c r="E17" s="7" t="n">
        <v>25</v>
      </c>
    </row>
    <row r="18">
      <c r="A18" s="12" t="inlineStr">
        <is>
          <t xml:space="preserve">    ND / EBITDA</t>
        </is>
      </c>
      <c r="B18" s="16">
        <f>IF(B13&gt;0,B17/B13,"")</f>
        <v/>
      </c>
      <c r="C18" s="19" t="inlineStr"/>
      <c r="D18" s="20">
        <f>IF(D13&gt;0,D17/D13,"")</f>
        <v/>
      </c>
      <c r="E18" s="16">
        <f>IF(E13&gt;0,E17/E13,"")</f>
        <v/>
      </c>
    </row>
    <row r="19">
      <c r="A19" s="21" t="inlineStr">
        <is>
          <t>Equity</t>
        </is>
      </c>
      <c r="B19" s="22">
        <f>B16-B17</f>
        <v/>
      </c>
      <c r="C19" s="22">
        <f>C16-C17</f>
        <v/>
      </c>
      <c r="D19" s="23">
        <f>D16-D17</f>
        <v/>
      </c>
      <c r="E19" s="22">
        <f>E16-E17</f>
        <v/>
      </c>
    </row>
    <row r="21">
      <c r="A21" s="8">
        <f>"Value creation bridge — cost to base-case return"</f>
        <v/>
      </c>
      <c r="B21" s="9">
        <f>B8</f>
        <v/>
      </c>
      <c r="C21" s="9" t="inlineStr">
        <is>
          <t>MOIC basis</t>
        </is>
      </c>
      <c r="D21" s="9" t="inlineStr">
        <is>
          <t>% of creation</t>
        </is>
      </c>
    </row>
    <row r="22">
      <c r="A22" s="24" t="inlineStr">
        <is>
          <t>Cost — invested equity (PF entry)</t>
        </is>
      </c>
      <c r="B22" s="25">
        <f>D19</f>
        <v/>
      </c>
      <c r="C22" s="26">
        <f>IF($B$22&gt;0,B22/$B$22,"")</f>
        <v/>
      </c>
      <c r="D22" s="19" t="inlineStr"/>
    </row>
    <row r="23">
      <c r="A23" s="27" t="inlineStr">
        <is>
          <t>Sales growth</t>
        </is>
      </c>
      <c r="B23" s="18">
        <f>(E12-D12)*D14*D15</f>
        <v/>
      </c>
      <c r="C23" s="28">
        <f>IF($B$22&gt;0,B23/$B$22,"")</f>
        <v/>
      </c>
      <c r="D23" s="29">
        <f>IF($B$27&lt;&gt;$B$22,B23/($B$27-$B$22),"")</f>
        <v/>
      </c>
    </row>
    <row r="24">
      <c r="A24" s="27" t="inlineStr">
        <is>
          <t>EBITDA margin</t>
        </is>
      </c>
      <c r="B24" s="18">
        <f>(E14-D14)*E12*D15</f>
        <v/>
      </c>
      <c r="C24" s="28">
        <f>IF($B$22&gt;0,B24/$B$22,"")</f>
        <v/>
      </c>
      <c r="D24" s="29">
        <f>IF($B$27&lt;&gt;$B$22,B24/($B$27-$B$22),"")</f>
        <v/>
      </c>
    </row>
    <row r="25">
      <c r="A25" s="27" t="inlineStr">
        <is>
          <t>Multiple rerating</t>
        </is>
      </c>
      <c r="B25" s="18">
        <f>(E15-D15)*E13</f>
        <v/>
      </c>
      <c r="C25" s="28">
        <f>IF($B$22&gt;0,B25/$B$22,"")</f>
        <v/>
      </c>
      <c r="D25" s="29">
        <f>IF($B$27&lt;&gt;$B$22,B25/($B$27-$B$22),"")</f>
        <v/>
      </c>
    </row>
    <row r="26">
      <c r="A26" s="27" t="inlineStr">
        <is>
          <t>Deleveraging</t>
        </is>
      </c>
      <c r="B26" s="18">
        <f>D17-E17</f>
        <v/>
      </c>
      <c r="C26" s="28">
        <f>IF($B$22&gt;0,B26/$B$22,"")</f>
        <v/>
      </c>
      <c r="D26" s="29">
        <f>IF($B$27&lt;&gt;$B$22,B26/($B$27-$B$22),"")</f>
        <v/>
      </c>
    </row>
    <row r="27">
      <c r="A27" s="21" t="inlineStr">
        <is>
          <t>Exit equity</t>
        </is>
      </c>
      <c r="B27" s="22">
        <f>E19</f>
        <v/>
      </c>
      <c r="C27" s="30">
        <f>IF($B$22&gt;0,B27/$B$22,"")</f>
        <v/>
      </c>
      <c r="D27" s="31" t="inlineStr"/>
    </row>
    <row r="28">
      <c r="A28" s="27" t="inlineStr">
        <is>
          <t>Distributions during hold</t>
        </is>
      </c>
      <c r="B28" s="18">
        <f>B9</f>
        <v/>
      </c>
      <c r="C28" s="28">
        <f>IF($B$22&gt;0,B28/$B$22,"")</f>
        <v/>
      </c>
      <c r="D28" s="19" t="inlineStr"/>
    </row>
    <row r="29">
      <c r="A29" s="21" t="inlineStr">
        <is>
          <t>Total proceeds — base case</t>
        </is>
      </c>
      <c r="B29" s="22">
        <f>B27+B28</f>
        <v/>
      </c>
      <c r="C29" s="30">
        <f>IF($B$22&gt;0,B29/$B$22,"")</f>
        <v/>
      </c>
      <c r="D29" s="31" t="inlineStr"/>
    </row>
    <row r="30">
      <c r="A30" s="32" t="inlineStr">
        <is>
          <t>Tie check (must be 0.0)</t>
        </is>
      </c>
      <c r="B30" s="33">
        <f>B22+SUM(B23:B26)-B27</f>
        <v/>
      </c>
    </row>
    <row r="32">
      <c r="A32" s="8" t="inlineStr">
        <is>
          <t>Returns (gross, base case)</t>
        </is>
      </c>
      <c r="B32" s="34" t="inlineStr"/>
    </row>
    <row r="33">
      <c r="A33" s="35" t="inlineStr">
        <is>
          <t>Invested equity (PF entry)</t>
        </is>
      </c>
      <c r="B33" s="18">
        <f>B22</f>
        <v/>
      </c>
    </row>
    <row r="34">
      <c r="A34" s="35" t="inlineStr">
        <is>
          <t>Total proceeds (exit equity + distributions)</t>
        </is>
      </c>
      <c r="B34" s="18">
        <f>B29</f>
        <v/>
      </c>
    </row>
    <row r="35">
      <c r="A35" s="35" t="inlineStr">
        <is>
          <t>Gross MOIC</t>
        </is>
      </c>
      <c r="B35" s="26">
        <f>IF(B33&gt;0,B34/B33,"")</f>
        <v/>
      </c>
    </row>
    <row r="36">
      <c r="A36" s="35" t="inlineStr">
        <is>
          <t>Gross IRR (flows at entry / exit)</t>
        </is>
      </c>
      <c r="B36" s="36">
        <f>IF(AND(B7&gt;B6,B35&lt;&gt;"",B35&gt;0),B35^(1/(B7-B6))-1,"")</f>
        <v/>
      </c>
    </row>
    <row r="37">
      <c r="A37" s="35" t="inlineStr">
        <is>
          <t>Sales CAGR (PF entry → exit)</t>
        </is>
      </c>
      <c r="B37" s="37">
        <f>IF(AND(B7&gt;B6,D12&gt;0,E12&gt;0),(E12/D12)^(1/(B7-B6))-1,"")</f>
        <v/>
      </c>
    </row>
    <row r="38">
      <c r="A38" s="35" t="inlineStr">
        <is>
          <t>EBITDA CAGR (PF entry → exit)</t>
        </is>
      </c>
      <c r="B38" s="37">
        <f>IF(AND(B7&gt;B6,D13&gt;0,E13&gt;0),(E13/D13)^(1/(B7-B6))-1,"")</f>
        <v/>
      </c>
    </row>
    <row r="40">
      <c r="A40" s="38" t="inlineStr">
        <is>
          <t>Chart data — do not edit</t>
        </is>
      </c>
    </row>
    <row r="41">
      <c r="A41" s="38" t="inlineStr">
        <is>
          <t>Category</t>
        </is>
      </c>
      <c r="B41" s="38" t="inlineStr">
        <is>
          <t>Cumulative</t>
        </is>
      </c>
      <c r="C41" s="38" t="inlineStr">
        <is>
          <t>Base</t>
        </is>
      </c>
      <c r="D41" s="38" t="inlineStr">
        <is>
          <t>Total</t>
        </is>
      </c>
      <c r="E41" s="38" t="inlineStr">
        <is>
          <t>Increase</t>
        </is>
      </c>
      <c r="F41" s="38" t="inlineStr">
        <is>
          <t>Decrease</t>
        </is>
      </c>
    </row>
    <row r="42">
      <c r="A42" s="39" t="inlineStr">
        <is>
          <t>Cost</t>
        </is>
      </c>
      <c r="B42" s="40">
        <f>C22</f>
        <v/>
      </c>
      <c r="C42" s="40" t="n">
        <v>0</v>
      </c>
      <c r="D42" s="40">
        <f>C22</f>
        <v/>
      </c>
      <c r="E42" s="40" t="n">
        <v>0</v>
      </c>
      <c r="F42" s="40" t="n">
        <v>0</v>
      </c>
    </row>
    <row r="43">
      <c r="A43" s="39" t="inlineStr">
        <is>
          <t>Sales growth</t>
        </is>
      </c>
      <c r="B43" s="40">
        <f>B42+C23</f>
        <v/>
      </c>
      <c r="C43" s="40">
        <f>MIN(B42,B43)</f>
        <v/>
      </c>
      <c r="D43" s="40" t="n">
        <v>0</v>
      </c>
      <c r="E43" s="40">
        <f>MAX(C23,0)</f>
        <v/>
      </c>
      <c r="F43" s="40">
        <f>MAX(-C23,0)</f>
        <v/>
      </c>
    </row>
    <row r="44">
      <c r="A44" s="39" t="inlineStr">
        <is>
          <t>EBITDA margin</t>
        </is>
      </c>
      <c r="B44" s="40">
        <f>B43+C24</f>
        <v/>
      </c>
      <c r="C44" s="40">
        <f>MIN(B43,B44)</f>
        <v/>
      </c>
      <c r="D44" s="40" t="n">
        <v>0</v>
      </c>
      <c r="E44" s="40">
        <f>MAX(C24,0)</f>
        <v/>
      </c>
      <c r="F44" s="40">
        <f>MAX(-C24,0)</f>
        <v/>
      </c>
    </row>
    <row r="45">
      <c r="A45" s="39" t="inlineStr">
        <is>
          <t>Multiple rerating</t>
        </is>
      </c>
      <c r="B45" s="40">
        <f>B44+C25</f>
        <v/>
      </c>
      <c r="C45" s="40">
        <f>MIN(B44,B45)</f>
        <v/>
      </c>
      <c r="D45" s="40" t="n">
        <v>0</v>
      </c>
      <c r="E45" s="40">
        <f>MAX(C25,0)</f>
        <v/>
      </c>
      <c r="F45" s="40">
        <f>MAX(-C25,0)</f>
        <v/>
      </c>
    </row>
    <row r="46">
      <c r="A46" s="39" t="inlineStr">
        <is>
          <t>Deleveraging</t>
        </is>
      </c>
      <c r="B46" s="40">
        <f>B45+C26</f>
        <v/>
      </c>
      <c r="C46" s="40">
        <f>MIN(B45,B46)</f>
        <v/>
      </c>
      <c r="D46" s="40" t="n">
        <v>0</v>
      </c>
      <c r="E46" s="40">
        <f>MAX(C26,0)</f>
        <v/>
      </c>
      <c r="F46" s="40">
        <f>MAX(-C26,0)</f>
        <v/>
      </c>
    </row>
    <row r="47">
      <c r="A47" s="39" t="inlineStr">
        <is>
          <t>Distributions</t>
        </is>
      </c>
      <c r="B47" s="40">
        <f>B46+C28</f>
        <v/>
      </c>
      <c r="C47" s="40">
        <f>MIN(B46,B47)</f>
        <v/>
      </c>
      <c r="D47" s="40" t="n">
        <v>0</v>
      </c>
      <c r="E47" s="40">
        <f>MAX(C28,0)</f>
        <v/>
      </c>
      <c r="F47" s="40">
        <f>MAX(-C28,0)</f>
        <v/>
      </c>
    </row>
    <row r="48">
      <c r="A48" s="39" t="inlineStr">
        <is>
          <t>Gross MOIC</t>
        </is>
      </c>
      <c r="B48" s="40">
        <f>C29</f>
        <v/>
      </c>
      <c r="C48" s="40" t="n">
        <v>0</v>
      </c>
      <c r="D48" s="40">
        <f>C29</f>
        <v/>
      </c>
      <c r="E48" s="40" t="n">
        <v>0</v>
      </c>
      <c r="F48" s="40" t="n">
        <v>0</v>
      </c>
    </row>
    <row r="51">
      <c r="A51" s="38" t="inlineStr">
        <is>
          <t>Category</t>
        </is>
      </c>
      <c r="B51" s="38" t="inlineStr">
        <is>
          <t>Cumulative</t>
        </is>
      </c>
      <c r="C51" s="38" t="inlineStr">
        <is>
          <t>Base</t>
        </is>
      </c>
      <c r="D51" s="38" t="inlineStr">
        <is>
          <t>Total</t>
        </is>
      </c>
      <c r="E51" s="38" t="inlineStr">
        <is>
          <t>Increase</t>
        </is>
      </c>
      <c r="F51" s="38" t="inlineStr">
        <is>
          <t>Decrease</t>
        </is>
      </c>
    </row>
    <row r="52">
      <c r="A52" s="39" t="inlineStr">
        <is>
          <t>Entry equity (PF)</t>
        </is>
      </c>
      <c r="B52" s="41">
        <f>B22</f>
        <v/>
      </c>
      <c r="C52" s="41" t="n">
        <v>0</v>
      </c>
      <c r="D52" s="41">
        <f>B22</f>
        <v/>
      </c>
      <c r="E52" s="41" t="n">
        <v>0</v>
      </c>
      <c r="F52" s="41" t="n">
        <v>0</v>
      </c>
    </row>
    <row r="53">
      <c r="A53" s="39" t="inlineStr">
        <is>
          <t>Sales growth</t>
        </is>
      </c>
      <c r="B53" s="41">
        <f>B52+B23</f>
        <v/>
      </c>
      <c r="C53" s="41">
        <f>MIN(B52,B53)</f>
        <v/>
      </c>
      <c r="D53" s="41" t="n">
        <v>0</v>
      </c>
      <c r="E53" s="41">
        <f>MAX(B23,0)</f>
        <v/>
      </c>
      <c r="F53" s="41">
        <f>MAX(-B23,0)</f>
        <v/>
      </c>
    </row>
    <row r="54">
      <c r="A54" s="39" t="inlineStr">
        <is>
          <t>EBITDA margin</t>
        </is>
      </c>
      <c r="B54" s="41">
        <f>B53+B24</f>
        <v/>
      </c>
      <c r="C54" s="41">
        <f>MIN(B53,B54)</f>
        <v/>
      </c>
      <c r="D54" s="41" t="n">
        <v>0</v>
      </c>
      <c r="E54" s="41">
        <f>MAX(B24,0)</f>
        <v/>
      </c>
      <c r="F54" s="41">
        <f>MAX(-B24,0)</f>
        <v/>
      </c>
    </row>
    <row r="55">
      <c r="A55" s="39" t="inlineStr">
        <is>
          <t>Multiple rerating</t>
        </is>
      </c>
      <c r="B55" s="41">
        <f>B54+B25</f>
        <v/>
      </c>
      <c r="C55" s="41">
        <f>MIN(B54,B55)</f>
        <v/>
      </c>
      <c r="D55" s="41" t="n">
        <v>0</v>
      </c>
      <c r="E55" s="41">
        <f>MAX(B25,0)</f>
        <v/>
      </c>
      <c r="F55" s="41">
        <f>MAX(-B25,0)</f>
        <v/>
      </c>
    </row>
    <row r="56">
      <c r="A56" s="39" t="inlineStr">
        <is>
          <t>Deleveraging</t>
        </is>
      </c>
      <c r="B56" s="41">
        <f>B55+B26</f>
        <v/>
      </c>
      <c r="C56" s="41">
        <f>MIN(B55,B56)</f>
        <v/>
      </c>
      <c r="D56" s="41" t="n">
        <v>0</v>
      </c>
      <c r="E56" s="41">
        <f>MAX(B26,0)</f>
        <v/>
      </c>
      <c r="F56" s="41">
        <f>MAX(-B26,0)</f>
        <v/>
      </c>
    </row>
    <row r="57">
      <c r="A57" s="39" t="inlineStr">
        <is>
          <t>Exit equity</t>
        </is>
      </c>
      <c r="B57" s="41">
        <f>B27</f>
        <v/>
      </c>
      <c r="C57" s="41" t="n">
        <v>0</v>
      </c>
      <c r="D57" s="41">
        <f>B27</f>
        <v/>
      </c>
      <c r="E57" s="41" t="n">
        <v>0</v>
      </c>
      <c r="F57" s="41" t="n">
        <v>0</v>
      </c>
    </row>
    <row r="58">
      <c r="A58" s="39" t="inlineStr">
        <is>
          <t>Distributions</t>
        </is>
      </c>
      <c r="B58" s="41">
        <f>B57+B28</f>
        <v/>
      </c>
      <c r="C58" s="41">
        <f>MIN(B57,B58)</f>
        <v/>
      </c>
      <c r="D58" s="41" t="n">
        <v>0</v>
      </c>
      <c r="E58" s="41">
        <f>MAX(B28,0)</f>
        <v/>
      </c>
      <c r="F58" s="41">
        <f>MAX(-B28,0)</f>
        <v/>
      </c>
    </row>
    <row r="59">
      <c r="A59" s="39" t="inlineStr">
        <is>
          <t>Total proceeds</t>
        </is>
      </c>
      <c r="B59" s="41">
        <f>B29</f>
        <v/>
      </c>
      <c r="C59" s="41" t="n">
        <v>0</v>
      </c>
      <c r="D59" s="41">
        <f>B29</f>
        <v/>
      </c>
      <c r="E59" s="41" t="n">
        <v>0</v>
      </c>
      <c r="F59" s="41" t="n">
        <v>0</v>
      </c>
    </row>
    <row r="62">
      <c r="A62" s="38" t="inlineStr">
        <is>
          <t>M&amp;A convention: add-ons are consolidated PRO-FORMA AT ENTRY — acquired sales/EBITDA build the entry base, consideration adds to entry EV</t>
        </is>
      </c>
    </row>
    <row r="63">
      <c r="A63" s="38" t="inlineStr">
        <is>
          <t>(blending the entry multiple down, cell D15) and the debt-funded part adds to entry net debt. Growth bars are organic vs the PF base;</t>
        </is>
      </c>
    </row>
    <row r="64">
      <c r="A64" s="38" t="inlineStr">
        <is>
          <t>the multiple-rerating bar carries the blend-down arbitrage. With no M&amp;A, leave the Add-ons column at 0 — PF entry then equals the platform.</t>
        </is>
      </c>
    </row>
    <row r="65">
      <c r="A65" s="38" t="inlineStr">
        <is>
          <t>Bridge identity: cost (PF entry equity) + sales growth + EBITDA margin + multiple rerating + deleveraging = exit equity (tie check row 30 = 0);</t>
        </is>
      </c>
    </row>
    <row r="66">
      <c r="A66" s="38" t="inlineStr">
        <is>
          <t>adding distributions gives total proceeds, so the MOIC-basis bridge reconciles from cost (1.00x) to the base-case gross MOIC by construction.</t>
        </is>
      </c>
    </row>
    <row r="67">
      <c r="A67" s="38" t="inlineStr">
        <is>
          <t>All figures per BP, gross of fund fees &amp; carry. IRR assumes single flows at entry and exit (distributions at exit). Source: deal team BP inputs.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A4B3"/>
    <outlinePr summaryBelow="1" summaryRight="1"/>
    <pageSetUpPr/>
  </sheetPr>
  <dimension ref="A1:Y4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NORD HOLDING  —  Portfolio Value Creation</t>
        </is>
      </c>
    </row>
    <row r="2">
      <c r="A2" s="2" t="inlineStr">
        <is>
          <t>One row per portfolio company · same convention as the Bridge sheet: add-ons consolidated pro-forma at entry (blended multiple)</t>
        </is>
      </c>
    </row>
    <row r="3">
      <c r="A3" s="3" t="inlineStr">
        <is>
          <t>Blue on yellow = INPUT · black = calculated · per-deal bridges sum exactly to the portfolio bridge (tie col Y = 0)</t>
        </is>
      </c>
    </row>
    <row r="5">
      <c r="A5" s="34" t="inlineStr"/>
      <c r="B5" s="42" t="inlineStr">
        <is>
          <t>Entry (platform)</t>
        </is>
      </c>
      <c r="F5" s="42" t="inlineStr">
        <is>
          <t>+ Add-ons (PF at entry)</t>
        </is>
      </c>
      <c r="J5" s="42" t="inlineStr">
        <is>
          <t>Exit</t>
        </is>
      </c>
      <c r="N5" s="42" t="inlineStr">
        <is>
          <t>Dist.</t>
        </is>
      </c>
      <c r="O5" s="42" t="inlineStr">
        <is>
          <t>Value creation (calculated)</t>
        </is>
      </c>
    </row>
    <row r="6">
      <c r="A6" s="43" t="inlineStr">
        <is>
          <t>Project</t>
        </is>
      </c>
      <c r="B6" s="44" t="inlineStr">
        <is>
          <t>Sales</t>
        </is>
      </c>
      <c r="C6" s="44" t="inlineStr">
        <is>
          <t>EBITDA</t>
        </is>
      </c>
      <c r="D6" s="44" t="inlineStr">
        <is>
          <t>EV/EBITDA</t>
        </is>
      </c>
      <c r="E6" s="44" t="inlineStr">
        <is>
          <t>Net debt</t>
        </is>
      </c>
      <c r="F6" s="44" t="inlineStr">
        <is>
          <t>Acq. sales</t>
        </is>
      </c>
      <c r="G6" s="44" t="inlineStr">
        <is>
          <t>Acq. EBITDA</t>
        </is>
      </c>
      <c r="H6" s="44" t="inlineStr">
        <is>
          <t>Consider.</t>
        </is>
      </c>
      <c r="I6" s="44" t="inlineStr">
        <is>
          <t>o/w debt</t>
        </is>
      </c>
      <c r="J6" s="44" t="inlineStr">
        <is>
          <t>Sales</t>
        </is>
      </c>
      <c r="K6" s="44" t="inlineStr">
        <is>
          <t>EBITDA</t>
        </is>
      </c>
      <c r="L6" s="44" t="inlineStr">
        <is>
          <t>EV/EBITDA</t>
        </is>
      </c>
      <c r="M6" s="44" t="inlineStr">
        <is>
          <t>Net debt</t>
        </is>
      </c>
      <c r="N6" s="44" t="inlineStr">
        <is>
          <t>Distrib.</t>
        </is>
      </c>
      <c r="O6" s="44" t="inlineStr">
        <is>
          <t>PF EBITDA</t>
        </is>
      </c>
      <c r="P6" s="44" t="inlineStr">
        <is>
          <t>Blended x</t>
        </is>
      </c>
      <c r="Q6" s="44" t="inlineStr">
        <is>
          <t>PF equity</t>
        </is>
      </c>
      <c r="R6" s="44" t="inlineStr">
        <is>
          <t>Sales growth</t>
        </is>
      </c>
      <c r="S6" s="44" t="inlineStr">
        <is>
          <t>EBITDA margin</t>
        </is>
      </c>
      <c r="T6" s="44" t="inlineStr">
        <is>
          <t>Multiple rerating</t>
        </is>
      </c>
      <c r="U6" s="44" t="inlineStr">
        <is>
          <t>Delever.</t>
        </is>
      </c>
      <c r="V6" s="44" t="inlineStr">
        <is>
          <t>Exit equity</t>
        </is>
      </c>
      <c r="W6" s="44" t="inlineStr">
        <is>
          <t>Proceeds</t>
        </is>
      </c>
      <c r="X6" s="44" t="inlineStr">
        <is>
          <t>MOIC</t>
        </is>
      </c>
      <c r="Y6" s="44" t="inlineStr">
        <is>
          <t>tie</t>
        </is>
      </c>
    </row>
    <row r="7">
      <c r="A7" s="5" t="inlineStr">
        <is>
          <t>Project Alpha</t>
        </is>
      </c>
      <c r="B7" s="7" t="n">
        <v>100</v>
      </c>
      <c r="C7" s="7" t="n">
        <v>20</v>
      </c>
      <c r="D7" s="15" t="n">
        <v>8</v>
      </c>
      <c r="E7" s="7" t="n">
        <v>60</v>
      </c>
      <c r="F7" s="7" t="n">
        <v>25</v>
      </c>
      <c r="G7" s="7" t="n">
        <v>5</v>
      </c>
      <c r="H7" s="7" t="n">
        <v>30</v>
      </c>
      <c r="I7" s="7" t="n">
        <v>20</v>
      </c>
      <c r="J7" s="7" t="n">
        <v>165</v>
      </c>
      <c r="K7" s="7" t="n">
        <v>38</v>
      </c>
      <c r="L7" s="15" t="n">
        <v>9</v>
      </c>
      <c r="M7" s="7" t="n">
        <v>25</v>
      </c>
      <c r="N7" s="7" t="n">
        <v>0</v>
      </c>
      <c r="O7" s="18">
        <f>IF($A7="","",C7+G7)</f>
        <v/>
      </c>
      <c r="P7" s="28">
        <f>IF($A7="","",IF(C7+G7&gt;0,(C7*D7+H7)/(C7+G7),""))</f>
        <v/>
      </c>
      <c r="Q7" s="18">
        <f>IF($A7="","",C7*D7+H7-E7-I7)</f>
        <v/>
      </c>
      <c r="R7" s="18">
        <f>IF($A7="","",IF(AND(B7+F7&gt;0,J7&gt;0),(J7-(B7+F7))*(O7/(B7+F7))*P7,""))</f>
        <v/>
      </c>
      <c r="S7" s="18">
        <f>IF($A7="","",IF(AND(B7+F7&gt;0,J7&gt;0),(K7/J7-O7/(B7+F7))*J7*P7,""))</f>
        <v/>
      </c>
      <c r="T7" s="18">
        <f>IF($A7="","",(L7-P7)*K7)</f>
        <v/>
      </c>
      <c r="U7" s="18">
        <f>IF($A7="","",E7+I7-M7)</f>
        <v/>
      </c>
      <c r="V7" s="18">
        <f>IF($A7="","",K7*L7-M7)</f>
        <v/>
      </c>
      <c r="W7" s="18">
        <f>IF($A7="","",V7+N7)</f>
        <v/>
      </c>
      <c r="X7" s="28">
        <f>IF($A7="","",IF(Q7&gt;0,W7/Q7,""))</f>
        <v/>
      </c>
      <c r="Y7" s="45">
        <f>IF($A7="","",Q7+R7+S7+T7+U7-V7)</f>
        <v/>
      </c>
    </row>
    <row r="8">
      <c r="A8" s="5" t="inlineStr">
        <is>
          <t>Project Beta</t>
        </is>
      </c>
      <c r="B8" s="7" t="n">
        <v>80</v>
      </c>
      <c r="C8" s="7" t="n">
        <v>12</v>
      </c>
      <c r="D8" s="15" t="n">
        <v>7</v>
      </c>
      <c r="E8" s="7" t="n">
        <v>40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110</v>
      </c>
      <c r="K8" s="7" t="n">
        <v>22</v>
      </c>
      <c r="L8" s="15" t="n">
        <v>6.5</v>
      </c>
      <c r="M8" s="7" t="n">
        <v>10</v>
      </c>
      <c r="N8" s="7" t="n">
        <v>0</v>
      </c>
      <c r="O8" s="18">
        <f>IF($A8="","",C8+G8)</f>
        <v/>
      </c>
      <c r="P8" s="28">
        <f>IF($A8="","",IF(C8+G8&gt;0,(C8*D8+H8)/(C8+G8),""))</f>
        <v/>
      </c>
      <c r="Q8" s="18">
        <f>IF($A8="","",C8*D8+H8-E8-I8)</f>
        <v/>
      </c>
      <c r="R8" s="18">
        <f>IF($A8="","",IF(AND(B8+F8&gt;0,J8&gt;0),(J8-(B8+F8))*(O8/(B8+F8))*P8,""))</f>
        <v/>
      </c>
      <c r="S8" s="18">
        <f>IF($A8="","",IF(AND(B8+F8&gt;0,J8&gt;0),(K8/J8-O8/(B8+F8))*J8*P8,""))</f>
        <v/>
      </c>
      <c r="T8" s="18">
        <f>IF($A8="","",(L8-P8)*K8)</f>
        <v/>
      </c>
      <c r="U8" s="18">
        <f>IF($A8="","",E8+I8-M8)</f>
        <v/>
      </c>
      <c r="V8" s="18">
        <f>IF($A8="","",K8*L8-M8)</f>
        <v/>
      </c>
      <c r="W8" s="18">
        <f>IF($A8="","",V8+N8)</f>
        <v/>
      </c>
      <c r="X8" s="28">
        <f>IF($A8="","",IF(Q8&gt;0,W8/Q8,""))</f>
        <v/>
      </c>
      <c r="Y8" s="45">
        <f>IF($A8="","",Q8+R8+S8+T8+U8-V8)</f>
        <v/>
      </c>
    </row>
    <row r="9">
      <c r="A9" s="5" t="inlineStr">
        <is>
          <t>Project Gamma</t>
        </is>
      </c>
      <c r="B9" s="7" t="n">
        <v>150</v>
      </c>
      <c r="C9" s="7" t="n">
        <v>30</v>
      </c>
      <c r="D9" s="15" t="n">
        <v>9</v>
      </c>
      <c r="E9" s="7" t="n">
        <v>120</v>
      </c>
      <c r="F9" s="7" t="n">
        <v>40</v>
      </c>
      <c r="G9" s="7" t="n">
        <v>10</v>
      </c>
      <c r="H9" s="7" t="n">
        <v>70</v>
      </c>
      <c r="I9" s="7" t="n">
        <v>50</v>
      </c>
      <c r="J9" s="7" t="n">
        <v>260</v>
      </c>
      <c r="K9" s="7" t="n">
        <v>55</v>
      </c>
      <c r="L9" s="15" t="n">
        <v>9.5</v>
      </c>
      <c r="M9" s="7" t="n">
        <v>90</v>
      </c>
      <c r="N9" s="7" t="n">
        <v>40</v>
      </c>
      <c r="O9" s="18">
        <f>IF($A9="","",C9+G9)</f>
        <v/>
      </c>
      <c r="P9" s="28">
        <f>IF($A9="","",IF(C9+G9&gt;0,(C9*D9+H9)/(C9+G9),""))</f>
        <v/>
      </c>
      <c r="Q9" s="18">
        <f>IF($A9="","",C9*D9+H9-E9-I9)</f>
        <v/>
      </c>
      <c r="R9" s="18">
        <f>IF($A9="","",IF(AND(B9+F9&gt;0,J9&gt;0),(J9-(B9+F9))*(O9/(B9+F9))*P9,""))</f>
        <v/>
      </c>
      <c r="S9" s="18">
        <f>IF($A9="","",IF(AND(B9+F9&gt;0,J9&gt;0),(K9/J9-O9/(B9+F9))*J9*P9,""))</f>
        <v/>
      </c>
      <c r="T9" s="18">
        <f>IF($A9="","",(L9-P9)*K9)</f>
        <v/>
      </c>
      <c r="U9" s="18">
        <f>IF($A9="","",E9+I9-M9)</f>
        <v/>
      </c>
      <c r="V9" s="18">
        <f>IF($A9="","",K9*L9-M9)</f>
        <v/>
      </c>
      <c r="W9" s="18">
        <f>IF($A9="","",V9+N9)</f>
        <v/>
      </c>
      <c r="X9" s="28">
        <f>IF($A9="","",IF(Q9&gt;0,W9/Q9,""))</f>
        <v/>
      </c>
      <c r="Y9" s="45">
        <f>IF($A9="","",Q9+R9+S9+T9+U9-V9)</f>
        <v/>
      </c>
    </row>
    <row r="10">
      <c r="A10" s="5" t="n"/>
      <c r="B10" s="7" t="n"/>
      <c r="C10" s="7" t="n"/>
      <c r="D10" s="15" t="n"/>
      <c r="E10" s="7" t="n"/>
      <c r="F10" s="7" t="n"/>
      <c r="G10" s="7" t="n"/>
      <c r="H10" s="7" t="n"/>
      <c r="I10" s="7" t="n"/>
      <c r="J10" s="7" t="n"/>
      <c r="K10" s="7" t="n"/>
      <c r="L10" s="15" t="n"/>
      <c r="M10" s="7" t="n"/>
      <c r="N10" s="7" t="n"/>
      <c r="O10" s="18">
        <f>IF($A10="","",C10+G10)</f>
        <v/>
      </c>
      <c r="P10" s="28">
        <f>IF($A10="","",IF(C10+G10&gt;0,(C10*D10+H10)/(C10+G10),""))</f>
        <v/>
      </c>
      <c r="Q10" s="18">
        <f>IF($A10="","",C10*D10+H10-E10-I10)</f>
        <v/>
      </c>
      <c r="R10" s="18">
        <f>IF($A10="","",IF(AND(B10+F10&gt;0,J10&gt;0),(J10-(B10+F10))*(O10/(B10+F10))*P10,""))</f>
        <v/>
      </c>
      <c r="S10" s="18">
        <f>IF($A10="","",IF(AND(B10+F10&gt;0,J10&gt;0),(K10/J10-O10/(B10+F10))*J10*P10,""))</f>
        <v/>
      </c>
      <c r="T10" s="18">
        <f>IF($A10="","",(L10-P10)*K10)</f>
        <v/>
      </c>
      <c r="U10" s="18">
        <f>IF($A10="","",E10+I10-M10)</f>
        <v/>
      </c>
      <c r="V10" s="18">
        <f>IF($A10="","",K10*L10-M10)</f>
        <v/>
      </c>
      <c r="W10" s="18">
        <f>IF($A10="","",V10+N10)</f>
        <v/>
      </c>
      <c r="X10" s="28">
        <f>IF($A10="","",IF(Q10&gt;0,W10/Q10,""))</f>
        <v/>
      </c>
      <c r="Y10" s="45">
        <f>IF($A10="","",Q10+R10+S10+T10+U10-V10)</f>
        <v/>
      </c>
    </row>
    <row r="11">
      <c r="A11" s="5" t="n"/>
      <c r="B11" s="7" t="n"/>
      <c r="C11" s="7" t="n"/>
      <c r="D11" s="15" t="n"/>
      <c r="E11" s="7" t="n"/>
      <c r="F11" s="7" t="n"/>
      <c r="G11" s="7" t="n"/>
      <c r="H11" s="7" t="n"/>
      <c r="I11" s="7" t="n"/>
      <c r="J11" s="7" t="n"/>
      <c r="K11" s="7" t="n"/>
      <c r="L11" s="15" t="n"/>
      <c r="M11" s="7" t="n"/>
      <c r="N11" s="7" t="n"/>
      <c r="O11" s="18">
        <f>IF($A11="","",C11+G11)</f>
        <v/>
      </c>
      <c r="P11" s="28">
        <f>IF($A11="","",IF(C11+G11&gt;0,(C11*D11+H11)/(C11+G11),""))</f>
        <v/>
      </c>
      <c r="Q11" s="18">
        <f>IF($A11="","",C11*D11+H11-E11-I11)</f>
        <v/>
      </c>
      <c r="R11" s="18">
        <f>IF($A11="","",IF(AND(B11+F11&gt;0,J11&gt;0),(J11-(B11+F11))*(O11/(B11+F11))*P11,""))</f>
        <v/>
      </c>
      <c r="S11" s="18">
        <f>IF($A11="","",IF(AND(B11+F11&gt;0,J11&gt;0),(K11/J11-O11/(B11+F11))*J11*P11,""))</f>
        <v/>
      </c>
      <c r="T11" s="18">
        <f>IF($A11="","",(L11-P11)*K11)</f>
        <v/>
      </c>
      <c r="U11" s="18">
        <f>IF($A11="","",E11+I11-M11)</f>
        <v/>
      </c>
      <c r="V11" s="18">
        <f>IF($A11="","",K11*L11-M11)</f>
        <v/>
      </c>
      <c r="W11" s="18">
        <f>IF($A11="","",V11+N11)</f>
        <v/>
      </c>
      <c r="X11" s="28">
        <f>IF($A11="","",IF(Q11&gt;0,W11/Q11,""))</f>
        <v/>
      </c>
      <c r="Y11" s="45">
        <f>IF($A11="","",Q11+R11+S11+T11+U11-V11)</f>
        <v/>
      </c>
    </row>
    <row r="12">
      <c r="A12" s="5" t="n"/>
      <c r="B12" s="7" t="n"/>
      <c r="C12" s="7" t="n"/>
      <c r="D12" s="15" t="n"/>
      <c r="E12" s="7" t="n"/>
      <c r="F12" s="7" t="n"/>
      <c r="G12" s="7" t="n"/>
      <c r="H12" s="7" t="n"/>
      <c r="I12" s="7" t="n"/>
      <c r="J12" s="7" t="n"/>
      <c r="K12" s="7" t="n"/>
      <c r="L12" s="15" t="n"/>
      <c r="M12" s="7" t="n"/>
      <c r="N12" s="7" t="n"/>
      <c r="O12" s="18">
        <f>IF($A12="","",C12+G12)</f>
        <v/>
      </c>
      <c r="P12" s="28">
        <f>IF($A12="","",IF(C12+G12&gt;0,(C12*D12+H12)/(C12+G12),""))</f>
        <v/>
      </c>
      <c r="Q12" s="18">
        <f>IF($A12="","",C12*D12+H12-E12-I12)</f>
        <v/>
      </c>
      <c r="R12" s="18">
        <f>IF($A12="","",IF(AND(B12+F12&gt;0,J12&gt;0),(J12-(B12+F12))*(O12/(B12+F12))*P12,""))</f>
        <v/>
      </c>
      <c r="S12" s="18">
        <f>IF($A12="","",IF(AND(B12+F12&gt;0,J12&gt;0),(K12/J12-O12/(B12+F12))*J12*P12,""))</f>
        <v/>
      </c>
      <c r="T12" s="18">
        <f>IF($A12="","",(L12-P12)*K12)</f>
        <v/>
      </c>
      <c r="U12" s="18">
        <f>IF($A12="","",E12+I12-M12)</f>
        <v/>
      </c>
      <c r="V12" s="18">
        <f>IF($A12="","",K12*L12-M12)</f>
        <v/>
      </c>
      <c r="W12" s="18">
        <f>IF($A12="","",V12+N12)</f>
        <v/>
      </c>
      <c r="X12" s="28">
        <f>IF($A12="","",IF(Q12&gt;0,W12/Q12,""))</f>
        <v/>
      </c>
      <c r="Y12" s="45">
        <f>IF($A12="","",Q12+R12+S12+T12+U12-V12)</f>
        <v/>
      </c>
    </row>
    <row r="13">
      <c r="A13" s="5" t="n"/>
      <c r="B13" s="7" t="n"/>
      <c r="C13" s="7" t="n"/>
      <c r="D13" s="15" t="n"/>
      <c r="E13" s="7" t="n"/>
      <c r="F13" s="7" t="n"/>
      <c r="G13" s="7" t="n"/>
      <c r="H13" s="7" t="n"/>
      <c r="I13" s="7" t="n"/>
      <c r="J13" s="7" t="n"/>
      <c r="K13" s="7" t="n"/>
      <c r="L13" s="15" t="n"/>
      <c r="M13" s="7" t="n"/>
      <c r="N13" s="7" t="n"/>
      <c r="O13" s="18">
        <f>IF($A13="","",C13+G13)</f>
        <v/>
      </c>
      <c r="P13" s="28">
        <f>IF($A13="","",IF(C13+G13&gt;0,(C13*D13+H13)/(C13+G13),""))</f>
        <v/>
      </c>
      <c r="Q13" s="18">
        <f>IF($A13="","",C13*D13+H13-E13-I13)</f>
        <v/>
      </c>
      <c r="R13" s="18">
        <f>IF($A13="","",IF(AND(B13+F13&gt;0,J13&gt;0),(J13-(B13+F13))*(O13/(B13+F13))*P13,""))</f>
        <v/>
      </c>
      <c r="S13" s="18">
        <f>IF($A13="","",IF(AND(B13+F13&gt;0,J13&gt;0),(K13/J13-O13/(B13+F13))*J13*P13,""))</f>
        <v/>
      </c>
      <c r="T13" s="18">
        <f>IF($A13="","",(L13-P13)*K13)</f>
        <v/>
      </c>
      <c r="U13" s="18">
        <f>IF($A13="","",E13+I13-M13)</f>
        <v/>
      </c>
      <c r="V13" s="18">
        <f>IF($A13="","",K13*L13-M13)</f>
        <v/>
      </c>
      <c r="W13" s="18">
        <f>IF($A13="","",V13+N13)</f>
        <v/>
      </c>
      <c r="X13" s="28">
        <f>IF($A13="","",IF(Q13&gt;0,W13/Q13,""))</f>
        <v/>
      </c>
      <c r="Y13" s="45">
        <f>IF($A13="","",Q13+R13+S13+T13+U13-V13)</f>
        <v/>
      </c>
    </row>
    <row r="14">
      <c r="A14" s="5" t="n"/>
      <c r="B14" s="7" t="n"/>
      <c r="C14" s="7" t="n"/>
      <c r="D14" s="15" t="n"/>
      <c r="E14" s="7" t="n"/>
      <c r="F14" s="7" t="n"/>
      <c r="G14" s="7" t="n"/>
      <c r="H14" s="7" t="n"/>
      <c r="I14" s="7" t="n"/>
      <c r="J14" s="7" t="n"/>
      <c r="K14" s="7" t="n"/>
      <c r="L14" s="15" t="n"/>
      <c r="M14" s="7" t="n"/>
      <c r="N14" s="7" t="n"/>
      <c r="O14" s="18">
        <f>IF($A14="","",C14+G14)</f>
        <v/>
      </c>
      <c r="P14" s="28">
        <f>IF($A14="","",IF(C14+G14&gt;0,(C14*D14+H14)/(C14+G14),""))</f>
        <v/>
      </c>
      <c r="Q14" s="18">
        <f>IF($A14="","",C14*D14+H14-E14-I14)</f>
        <v/>
      </c>
      <c r="R14" s="18">
        <f>IF($A14="","",IF(AND(B14+F14&gt;0,J14&gt;0),(J14-(B14+F14))*(O14/(B14+F14))*P14,""))</f>
        <v/>
      </c>
      <c r="S14" s="18">
        <f>IF($A14="","",IF(AND(B14+F14&gt;0,J14&gt;0),(K14/J14-O14/(B14+F14))*J14*P14,""))</f>
        <v/>
      </c>
      <c r="T14" s="18">
        <f>IF($A14="","",(L14-P14)*K14)</f>
        <v/>
      </c>
      <c r="U14" s="18">
        <f>IF($A14="","",E14+I14-M14)</f>
        <v/>
      </c>
      <c r="V14" s="18">
        <f>IF($A14="","",K14*L14-M14)</f>
        <v/>
      </c>
      <c r="W14" s="18">
        <f>IF($A14="","",V14+N14)</f>
        <v/>
      </c>
      <c r="X14" s="28">
        <f>IF($A14="","",IF(Q14&gt;0,W14/Q14,""))</f>
        <v/>
      </c>
      <c r="Y14" s="45">
        <f>IF($A14="","",Q14+R14+S14+T14+U14-V14)</f>
        <v/>
      </c>
    </row>
    <row r="15">
      <c r="A15" s="5" t="n"/>
      <c r="B15" s="7" t="n"/>
      <c r="C15" s="7" t="n"/>
      <c r="D15" s="15" t="n"/>
      <c r="E15" s="7" t="n"/>
      <c r="F15" s="7" t="n"/>
      <c r="G15" s="7" t="n"/>
      <c r="H15" s="7" t="n"/>
      <c r="I15" s="7" t="n"/>
      <c r="J15" s="7" t="n"/>
      <c r="K15" s="7" t="n"/>
      <c r="L15" s="15" t="n"/>
      <c r="M15" s="7" t="n"/>
      <c r="N15" s="7" t="n"/>
      <c r="O15" s="18">
        <f>IF($A15="","",C15+G15)</f>
        <v/>
      </c>
      <c r="P15" s="28">
        <f>IF($A15="","",IF(C15+G15&gt;0,(C15*D15+H15)/(C15+G15),""))</f>
        <v/>
      </c>
      <c r="Q15" s="18">
        <f>IF($A15="","",C15*D15+H15-E15-I15)</f>
        <v/>
      </c>
      <c r="R15" s="18">
        <f>IF($A15="","",IF(AND(B15+F15&gt;0,J15&gt;0),(J15-(B15+F15))*(O15/(B15+F15))*P15,""))</f>
        <v/>
      </c>
      <c r="S15" s="18">
        <f>IF($A15="","",IF(AND(B15+F15&gt;0,J15&gt;0),(K15/J15-O15/(B15+F15))*J15*P15,""))</f>
        <v/>
      </c>
      <c r="T15" s="18">
        <f>IF($A15="","",(L15-P15)*K15)</f>
        <v/>
      </c>
      <c r="U15" s="18">
        <f>IF($A15="","",E15+I15-M15)</f>
        <v/>
      </c>
      <c r="V15" s="18">
        <f>IF($A15="","",K15*L15-M15)</f>
        <v/>
      </c>
      <c r="W15" s="18">
        <f>IF($A15="","",V15+N15)</f>
        <v/>
      </c>
      <c r="X15" s="28">
        <f>IF($A15="","",IF(Q15&gt;0,W15/Q15,""))</f>
        <v/>
      </c>
      <c r="Y15" s="45">
        <f>IF($A15="","",Q15+R15+S15+T15+U15-V15)</f>
        <v/>
      </c>
    </row>
    <row r="16">
      <c r="A16" s="5" t="n"/>
      <c r="B16" s="7" t="n"/>
      <c r="C16" s="7" t="n"/>
      <c r="D16" s="15" t="n"/>
      <c r="E16" s="7" t="n"/>
      <c r="F16" s="7" t="n"/>
      <c r="G16" s="7" t="n"/>
      <c r="H16" s="7" t="n"/>
      <c r="I16" s="7" t="n"/>
      <c r="J16" s="7" t="n"/>
      <c r="K16" s="7" t="n"/>
      <c r="L16" s="15" t="n"/>
      <c r="M16" s="7" t="n"/>
      <c r="N16" s="7" t="n"/>
      <c r="O16" s="18">
        <f>IF($A16="","",C16+G16)</f>
        <v/>
      </c>
      <c r="P16" s="28">
        <f>IF($A16="","",IF(C16+G16&gt;0,(C16*D16+H16)/(C16+G16),""))</f>
        <v/>
      </c>
      <c r="Q16" s="18">
        <f>IF($A16="","",C16*D16+H16-E16-I16)</f>
        <v/>
      </c>
      <c r="R16" s="18">
        <f>IF($A16="","",IF(AND(B16+F16&gt;0,J16&gt;0),(J16-(B16+F16))*(O16/(B16+F16))*P16,""))</f>
        <v/>
      </c>
      <c r="S16" s="18">
        <f>IF($A16="","",IF(AND(B16+F16&gt;0,J16&gt;0),(K16/J16-O16/(B16+F16))*J16*P16,""))</f>
        <v/>
      </c>
      <c r="T16" s="18">
        <f>IF($A16="","",(L16-P16)*K16)</f>
        <v/>
      </c>
      <c r="U16" s="18">
        <f>IF($A16="","",E16+I16-M16)</f>
        <v/>
      </c>
      <c r="V16" s="18">
        <f>IF($A16="","",K16*L16-M16)</f>
        <v/>
      </c>
      <c r="W16" s="18">
        <f>IF($A16="","",V16+N16)</f>
        <v/>
      </c>
      <c r="X16" s="28">
        <f>IF($A16="","",IF(Q16&gt;0,W16/Q16,""))</f>
        <v/>
      </c>
      <c r="Y16" s="45">
        <f>IF($A16="","",Q16+R16+S16+T16+U16-V16)</f>
        <v/>
      </c>
    </row>
    <row r="17">
      <c r="A17" s="21" t="inlineStr">
        <is>
          <t>PORTFOLIO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>
        <f>SUM(N7:N16)</f>
        <v/>
      </c>
      <c r="O17" s="22">
        <f>SUM(O7:O16)</f>
        <v/>
      </c>
      <c r="P17" s="30">
        <f>IF(SUM(O7:O16)&gt;0,(SUMPRODUCT(C7:C16,D7:D16)+SUM(H7:H16))/SUM(O7:O16),"")</f>
        <v/>
      </c>
      <c r="Q17" s="22">
        <f>SUM(Q7:Q16)</f>
        <v/>
      </c>
      <c r="R17" s="22">
        <f>SUM(R7:R16)</f>
        <v/>
      </c>
      <c r="S17" s="22">
        <f>SUM(S7:S16)</f>
        <v/>
      </c>
      <c r="T17" s="22">
        <f>SUM(T7:T16)</f>
        <v/>
      </c>
      <c r="U17" s="22">
        <f>SUM(U7:U16)</f>
        <v/>
      </c>
      <c r="V17" s="22">
        <f>SUM(V7:V16)</f>
        <v/>
      </c>
      <c r="W17" s="22">
        <f>SUM(W7:W16)</f>
        <v/>
      </c>
      <c r="X17" s="30">
        <f>IF(SUM(Q7:Q16)&gt;0,SUM(W7:W16)/SUM(Q7:Q16),"")</f>
        <v/>
      </c>
      <c r="Y17" s="22">
        <f>SUM(Y7:Y16)</f>
        <v/>
      </c>
    </row>
    <row r="20">
      <c r="A20" s="38" t="inlineStr">
        <is>
          <t>Chart data — do not edit (MOIC basis)</t>
        </is>
      </c>
    </row>
    <row r="21">
      <c r="A21" s="38" t="inlineStr">
        <is>
          <t>Category</t>
        </is>
      </c>
      <c r="B21" s="38" t="inlineStr">
        <is>
          <t>Cumulative</t>
        </is>
      </c>
      <c r="C21" s="38" t="inlineStr">
        <is>
          <t>Base</t>
        </is>
      </c>
      <c r="D21" s="38" t="inlineStr">
        <is>
          <t>Total</t>
        </is>
      </c>
      <c r="E21" s="38" t="inlineStr">
        <is>
          <t>Increase</t>
        </is>
      </c>
      <c r="F21" s="38" t="inlineStr">
        <is>
          <t>Decrease</t>
        </is>
      </c>
    </row>
    <row r="22">
      <c r="A22" s="39" t="inlineStr">
        <is>
          <t>Cost</t>
        </is>
      </c>
      <c r="B22" s="40">
        <f>IF($Q$17&gt;0,Q17/$Q$17,"")</f>
        <v/>
      </c>
      <c r="C22" s="40" t="n">
        <v>0</v>
      </c>
      <c r="D22" s="40">
        <f>IF($Q$17&gt;0,Q17/$Q$17,"")</f>
        <v/>
      </c>
      <c r="E22" s="40" t="n">
        <v>0</v>
      </c>
      <c r="F22" s="40" t="n">
        <v>0</v>
      </c>
    </row>
    <row r="23">
      <c r="A23" s="39" t="inlineStr">
        <is>
          <t>Sales growth</t>
        </is>
      </c>
      <c r="B23" s="40">
        <f>B22+IF($Q$17&gt;0,R17/$Q$17,0)</f>
        <v/>
      </c>
      <c r="C23" s="40">
        <f>MIN(B22,B23)</f>
        <v/>
      </c>
      <c r="D23" s="40" t="n">
        <v>0</v>
      </c>
      <c r="E23" s="40">
        <f>MAX(IF($Q$17&gt;0,R17/$Q$17,0),0)</f>
        <v/>
      </c>
      <c r="F23" s="40">
        <f>MAX(-IF($Q$17&gt;0,R17/$Q$17,0),0)</f>
        <v/>
      </c>
    </row>
    <row r="24">
      <c r="A24" s="39" t="inlineStr">
        <is>
          <t>EBITDA margin</t>
        </is>
      </c>
      <c r="B24" s="40">
        <f>B23+IF($Q$17&gt;0,S17/$Q$17,0)</f>
        <v/>
      </c>
      <c r="C24" s="40">
        <f>MIN(B23,B24)</f>
        <v/>
      </c>
      <c r="D24" s="40" t="n">
        <v>0</v>
      </c>
      <c r="E24" s="40">
        <f>MAX(IF($Q$17&gt;0,S17/$Q$17,0),0)</f>
        <v/>
      </c>
      <c r="F24" s="40">
        <f>MAX(-IF($Q$17&gt;0,S17/$Q$17,0),0)</f>
        <v/>
      </c>
    </row>
    <row r="25">
      <c r="A25" s="39" t="inlineStr">
        <is>
          <t>Multiple rerating</t>
        </is>
      </c>
      <c r="B25" s="40">
        <f>B24+IF($Q$17&gt;0,T17/$Q$17,0)</f>
        <v/>
      </c>
      <c r="C25" s="40">
        <f>MIN(B24,B25)</f>
        <v/>
      </c>
      <c r="D25" s="40" t="n">
        <v>0</v>
      </c>
      <c r="E25" s="40">
        <f>MAX(IF($Q$17&gt;0,T17/$Q$17,0),0)</f>
        <v/>
      </c>
      <c r="F25" s="40">
        <f>MAX(-IF($Q$17&gt;0,T17/$Q$17,0),0)</f>
        <v/>
      </c>
    </row>
    <row r="26">
      <c r="A26" s="39" t="inlineStr">
        <is>
          <t>Deleveraging</t>
        </is>
      </c>
      <c r="B26" s="40">
        <f>B25+IF($Q$17&gt;0,U17/$Q$17,0)</f>
        <v/>
      </c>
      <c r="C26" s="40">
        <f>MIN(B25,B26)</f>
        <v/>
      </c>
      <c r="D26" s="40" t="n">
        <v>0</v>
      </c>
      <c r="E26" s="40">
        <f>MAX(IF($Q$17&gt;0,U17/$Q$17,0),0)</f>
        <v/>
      </c>
      <c r="F26" s="40">
        <f>MAX(-IF($Q$17&gt;0,U17/$Q$17,0),0)</f>
        <v/>
      </c>
    </row>
    <row r="27">
      <c r="A27" s="39" t="inlineStr">
        <is>
          <t>Distributions</t>
        </is>
      </c>
      <c r="B27" s="40">
        <f>B26+IF($Q$17&gt;0,N17/$Q$17,0)</f>
        <v/>
      </c>
      <c r="C27" s="40">
        <f>MIN(B26,B27)</f>
        <v/>
      </c>
      <c r="D27" s="40" t="n">
        <v>0</v>
      </c>
      <c r="E27" s="40">
        <f>MAX(IF($Q$17&gt;0,N17/$Q$17,0),0)</f>
        <v/>
      </c>
      <c r="F27" s="40">
        <f>MAX(-IF($Q$17&gt;0,N17/$Q$17,0),0)</f>
        <v/>
      </c>
    </row>
    <row r="28">
      <c r="A28" s="39" t="inlineStr">
        <is>
          <t>Gross MOIC</t>
        </is>
      </c>
      <c r="B28" s="40">
        <f>X17</f>
        <v/>
      </c>
      <c r="C28" s="40" t="n">
        <v>0</v>
      </c>
      <c r="D28" s="40">
        <f>X17</f>
        <v/>
      </c>
      <c r="E28" s="40" t="n">
        <v>0</v>
      </c>
      <c r="F28" s="40" t="n">
        <v>0</v>
      </c>
    </row>
    <row r="47">
      <c r="A47" s="38" t="inlineStr">
        <is>
          <t>Per-deal detail and memo chart: use the Bridge sheet. Portfolio bars = sum of per-deal bars; identities tie per row (col Y = 0) and in total.</t>
        </is>
      </c>
    </row>
  </sheetData>
  <mergeCells count="5">
    <mergeCell ref="O5:Y5"/>
    <mergeCell ref="B5:E5"/>
    <mergeCell ref="F5:I5"/>
    <mergeCell ref="J5:M5"/>
    <mergeCell ref="N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2026-08-11T14:59:11Z</dcterms:created>
  <dcterms:modified xsi:type="dcterms:W3CDTF">2026-08-11T14:59:12Z</dcterms:modified>
</cp:coreProperties>
</file>